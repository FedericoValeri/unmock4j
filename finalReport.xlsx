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ev\Documents\UNICAM\Phd\unmock\"/>
    </mc:Choice>
  </mc:AlternateContent>
  <xr:revisionPtr revIDLastSave="0" documentId="13_ncr:1_{4B5B9E6A-A321-4164-858C-8673DDB1DAD1}" xr6:coauthVersionLast="47" xr6:coauthVersionMax="47" xr10:uidLastSave="{00000000-0000-0000-0000-000000000000}"/>
  <bookViews>
    <workbookView xWindow="-120" yWindow="-120" windowWidth="29040" windowHeight="15720" xr2:uid="{A0F7C0B4-A897-4B1D-9E87-712A814F4D93}"/>
  </bookViews>
  <sheets>
    <sheet name="r0" sheetId="1" r:id="rId1"/>
    <sheet name="r1" sheetId="2" r:id="rId2"/>
    <sheet name="r2" sheetId="5" r:id="rId3"/>
    <sheet name="global" sheetId="4" r:id="rId4"/>
    <sheet name="Test ID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C2" i="4"/>
  <c r="D2" i="4"/>
  <c r="E2" i="4"/>
  <c r="F2" i="4"/>
  <c r="G2" i="4"/>
  <c r="H2" i="4"/>
  <c r="I2" i="4"/>
  <c r="B2" i="4"/>
  <c r="I1" i="5"/>
  <c r="H1" i="5"/>
  <c r="G1" i="5"/>
  <c r="F1" i="5"/>
  <c r="E1" i="5"/>
  <c r="D1" i="5"/>
  <c r="C1" i="5"/>
  <c r="B1" i="5"/>
  <c r="I1" i="4"/>
  <c r="H1" i="4"/>
  <c r="G1" i="4"/>
  <c r="F1" i="4"/>
  <c r="E1" i="4"/>
  <c r="D1" i="4"/>
  <c r="C1" i="4"/>
  <c r="B1" i="4"/>
  <c r="I1" i="2"/>
  <c r="H1" i="2"/>
  <c r="G1" i="2"/>
  <c r="F1" i="2"/>
  <c r="E1" i="2"/>
  <c r="D1" i="2"/>
  <c r="C1" i="2"/>
  <c r="B1" i="2"/>
  <c r="I1" i="1"/>
  <c r="H1" i="1"/>
  <c r="G1" i="1"/>
  <c r="E1" i="1"/>
  <c r="D1" i="1"/>
  <c r="C1" i="1"/>
  <c r="B1" i="1"/>
  <c r="F1" i="1"/>
</calcChain>
</file>

<file path=xl/sharedStrings.xml><?xml version="1.0" encoding="utf-8"?>
<sst xmlns="http://schemas.openxmlformats.org/spreadsheetml/2006/main" count="169" uniqueCount="54">
  <si>
    <t>Target test</t>
  </si>
  <si>
    <t>Total when</t>
  </si>
  <si>
    <t>Transformed when</t>
  </si>
  <si>
    <t>Transformed when with syntax errors</t>
  </si>
  <si>
    <t>Transformed when with semantic errors</t>
  </si>
  <si>
    <t>Total verify</t>
  </si>
  <si>
    <t>Transformed verify</t>
  </si>
  <si>
    <t>Transformed verify with syntax errors</t>
  </si>
  <si>
    <t>Transformed verify with semantic errors</t>
  </si>
  <si>
    <t>Total mocked dependencies</t>
  </si>
  <si>
    <t>Explicitly defined mocked dependencies</t>
  </si>
  <si>
    <t>Generated proxies</t>
  </si>
  <si>
    <t>Generated empty proxies</t>
  </si>
  <si>
    <t>Assertion errors in proxies</t>
  </si>
  <si>
    <t>Verify errors in proxies</t>
  </si>
  <si>
    <t>JUnit import errors</t>
  </si>
  <si>
    <t>Generation time (sec)</t>
  </si>
  <si>
    <t>LLM used</t>
  </si>
  <si>
    <t>gpt-5.4-mini</t>
  </si>
  <si>
    <t>Cost ($)</t>
  </si>
  <si>
    <t>Needs human refactor (see Compilation errors for details)</t>
  </si>
  <si>
    <t>no</t>
  </si>
  <si>
    <t>yes</t>
  </si>
  <si>
    <t>TEST CLASS</t>
  </si>
  <si>
    <t>TEST METHOD</t>
  </si>
  <si>
    <t>ID</t>
  </si>
  <si>
    <t>org.apache.dolphinscheduler.api.python.PythonGatewayTest</t>
  </si>
  <si>
    <t>testGetCodeAndVersion</t>
  </si>
  <si>
    <t>DS.1</t>
  </si>
  <si>
    <t>org.apache.dolphinscheduler.api.service.WorkflowTaskLineageServiceTest</t>
  </si>
  <si>
    <t>testUpdateWorkflowLineageWithNonEmptyList</t>
  </si>
  <si>
    <t>DS.2</t>
  </si>
  <si>
    <t>org.apache.dolphinscheduler.api.service.EnvironmentWorkerGroupRelationServiceTest</t>
  </si>
  <si>
    <t>testQueryEnvironmentWorkerGroupRelation</t>
  </si>
  <si>
    <t>DS.3</t>
  </si>
  <si>
    <t>org.apache.dolphinscheduler.service.process.ProcessServiceTest</t>
  </si>
  <si>
    <t>testGetUserById</t>
  </si>
  <si>
    <t>DS.4</t>
  </si>
  <si>
    <t>com.alibaba.nacos.client.naming.selector.DefaultNamingSelectorTest</t>
  </si>
  <si>
    <t>testSelect</t>
  </si>
  <si>
    <t>N.1</t>
  </si>
  <si>
    <t>com.alibaba.nacos.ai.config.McpConfigurationTest</t>
  </si>
  <si>
    <t>testInit</t>
  </si>
  <si>
    <t>N.2</t>
  </si>
  <si>
    <t>com.alibaba.nacos.client.naming.remote.http.NamingHttpClientManagerTest</t>
  </si>
  <si>
    <t>testShutdown</t>
  </si>
  <si>
    <t>N.3</t>
  </si>
  <si>
    <t>com.alibaba.nacos.auth.util.AuthHeaderUtilTest</t>
  </si>
  <si>
    <t>testAddIdentityToGrpcRequestWhenNotSupport</t>
  </si>
  <si>
    <t>N.4</t>
  </si>
  <si>
    <t>Argument matchers in stub</t>
  </si>
  <si>
    <t>Transformed argument matchers in stub</t>
  </si>
  <si>
    <t>Transformed argument matchers in stub with syntax errors</t>
  </si>
  <si>
    <t>Transformed argument matcher in stub with semantic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</si>
</sst>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1D91-6181-4FD2-AFCC-E8F1D7B41E36}">
  <dimension ref="A1:I24"/>
  <sheetViews>
    <sheetView tabSelected="1" zoomScale="115" zoomScaleNormal="115" workbookViewId="0"/>
  </sheetViews>
  <sheetFormatPr defaultRowHeight="15" x14ac:dyDescent="0.25"/>
  <cols>
    <col min="1" max="1" width="55.28515625" bestFit="1" customWidth="1"/>
    <col min="2" max="9" width="11.7109375" bestFit="1" customWidth="1"/>
  </cols>
  <sheetData>
    <row r="1" spans="1:9" x14ac:dyDescent="0.25">
      <c r="A1" t="s">
        <v>0</v>
      </c>
      <c r="B1" t="str">
        <f>'Test IDs'!C2</f>
        <v>DS.1</v>
      </c>
      <c r="C1" t="str">
        <f>'Test IDs'!C3</f>
        <v>DS.2</v>
      </c>
      <c r="D1" t="str">
        <f>'Test IDs'!C4</f>
        <v>DS.3</v>
      </c>
      <c r="E1" t="str">
        <f>'Test IDs'!C5</f>
        <v>DS.4</v>
      </c>
      <c r="F1" t="str">
        <f>'Test IDs'!C6</f>
        <v>N.1</v>
      </c>
      <c r="G1" t="str">
        <f>'Test IDs'!C7</f>
        <v>N.2</v>
      </c>
      <c r="H1" t="str">
        <f>'Test IDs'!C8</f>
        <v>N.3</v>
      </c>
      <c r="I1" t="str">
        <f>'Test IDs'!C9</f>
        <v>N.4</v>
      </c>
    </row>
    <row r="2" spans="1:9" x14ac:dyDescent="0.25">
      <c r="A2" t="s">
        <v>1</v>
      </c>
      <c r="B2">
        <v>3</v>
      </c>
      <c r="C2">
        <v>2</v>
      </c>
      <c r="D2">
        <v>1</v>
      </c>
      <c r="E2">
        <v>1</v>
      </c>
      <c r="F2">
        <v>1</v>
      </c>
      <c r="G2">
        <v>0</v>
      </c>
      <c r="H2">
        <v>0</v>
      </c>
      <c r="I2">
        <v>1</v>
      </c>
    </row>
    <row r="3" spans="1:9" x14ac:dyDescent="0.25">
      <c r="A3" t="s">
        <v>2</v>
      </c>
      <c r="B3">
        <v>3</v>
      </c>
      <c r="C3">
        <v>2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</row>
    <row r="4" spans="1:9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0</v>
      </c>
      <c r="C6">
        <v>2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</row>
    <row r="7" spans="1:9" x14ac:dyDescent="0.25">
      <c r="A7" t="s">
        <v>6</v>
      </c>
      <c r="B7">
        <v>0</v>
      </c>
      <c r="C7">
        <v>2</v>
      </c>
      <c r="D7">
        <v>0</v>
      </c>
      <c r="E7">
        <v>0</v>
      </c>
      <c r="F7">
        <v>0</v>
      </c>
      <c r="G7">
        <v>1</v>
      </c>
      <c r="H7">
        <v>1</v>
      </c>
      <c r="I7">
        <v>1</v>
      </c>
    </row>
    <row r="8" spans="1:9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50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51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52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53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9</v>
      </c>
      <c r="B14">
        <v>3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2</v>
      </c>
    </row>
    <row r="15" spans="1:9" x14ac:dyDescent="0.25">
      <c r="A15" t="s">
        <v>10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</row>
    <row r="16" spans="1:9" x14ac:dyDescent="0.25">
      <c r="A16" t="s">
        <v>11</v>
      </c>
      <c r="B16">
        <v>3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2</v>
      </c>
    </row>
    <row r="17" spans="1:9" x14ac:dyDescent="0.25">
      <c r="A17" t="s">
        <v>12</v>
      </c>
      <c r="B17">
        <v>3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2</v>
      </c>
    </row>
    <row r="18" spans="1:9" x14ac:dyDescent="0.25">
      <c r="A18" t="s">
        <v>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15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1</v>
      </c>
    </row>
    <row r="21" spans="1:9" x14ac:dyDescent="0.25">
      <c r="A21" t="s">
        <v>16</v>
      </c>
      <c r="B21" s="1">
        <v>22.84</v>
      </c>
      <c r="C21" s="1">
        <v>18.741</v>
      </c>
      <c r="D21" s="1">
        <v>13.975</v>
      </c>
      <c r="E21" s="1">
        <v>17.408999999999999</v>
      </c>
      <c r="F21" s="1">
        <v>13.653</v>
      </c>
      <c r="G21" s="1">
        <v>13.473000000000001</v>
      </c>
      <c r="H21" s="1">
        <v>14.488</v>
      </c>
      <c r="I21" s="1">
        <v>15.755000000000001</v>
      </c>
    </row>
    <row r="22" spans="1:9" x14ac:dyDescent="0.25">
      <c r="A22" t="s">
        <v>19</v>
      </c>
      <c r="B22" s="1">
        <v>2.3952999999999999E-2</v>
      </c>
      <c r="C22" s="1">
        <v>2.3952999999999999E-2</v>
      </c>
      <c r="D22" s="1">
        <v>2.3952999999999999E-2</v>
      </c>
      <c r="E22" s="1">
        <v>2.3952999999999999E-2</v>
      </c>
      <c r="F22" s="1">
        <v>2.3952999999999999E-2</v>
      </c>
      <c r="G22" s="1">
        <v>2.3952999999999999E-2</v>
      </c>
      <c r="H22" s="1">
        <v>2.3952999999999999E-2</v>
      </c>
      <c r="I22" s="1">
        <v>2.3952999999999999E-2</v>
      </c>
    </row>
    <row r="23" spans="1:9" x14ac:dyDescent="0.25">
      <c r="A23" t="s">
        <v>17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25">
      <c r="A24" t="s">
        <v>20</v>
      </c>
      <c r="B24" t="s">
        <v>21</v>
      </c>
      <c r="C24" t="s">
        <v>21</v>
      </c>
      <c r="D24" t="s">
        <v>21</v>
      </c>
      <c r="E24" t="s">
        <v>21</v>
      </c>
      <c r="F24" t="s">
        <v>22</v>
      </c>
      <c r="G24" t="s">
        <v>22</v>
      </c>
      <c r="H24" t="s">
        <v>22</v>
      </c>
      <c r="I2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2C0D-A92D-4B3D-9C85-E5F6726FD947}">
  <dimension ref="A1:I24"/>
  <sheetViews>
    <sheetView zoomScale="115" zoomScaleNormal="115" workbookViewId="0">
      <selection activeCell="I23" sqref="I23"/>
    </sheetView>
  </sheetViews>
  <sheetFormatPr defaultRowHeight="15" x14ac:dyDescent="0.25"/>
  <cols>
    <col min="1" max="1" width="55.28515625" bestFit="1" customWidth="1"/>
    <col min="2" max="9" width="11.7109375" bestFit="1" customWidth="1"/>
  </cols>
  <sheetData>
    <row r="1" spans="1:9" x14ac:dyDescent="0.25">
      <c r="A1" t="s">
        <v>0</v>
      </c>
      <c r="B1" t="str">
        <f>'Test IDs'!C2</f>
        <v>DS.1</v>
      </c>
      <c r="C1" t="str">
        <f>'Test IDs'!C3</f>
        <v>DS.2</v>
      </c>
      <c r="D1" t="str">
        <f>'Test IDs'!C4</f>
        <v>DS.3</v>
      </c>
      <c r="E1" t="str">
        <f>'Test IDs'!C5</f>
        <v>DS.4</v>
      </c>
      <c r="F1" t="str">
        <f>'Test IDs'!C6</f>
        <v>N.1</v>
      </c>
      <c r="G1" t="str">
        <f>'Test IDs'!C7</f>
        <v>N.2</v>
      </c>
      <c r="H1" t="str">
        <f>'Test IDs'!C8</f>
        <v>N.3</v>
      </c>
      <c r="I1" t="str">
        <f>'Test IDs'!C9</f>
        <v>N.4</v>
      </c>
    </row>
    <row r="2" spans="1:9" x14ac:dyDescent="0.25">
      <c r="A2" t="s">
        <v>1</v>
      </c>
      <c r="B2">
        <v>3</v>
      </c>
      <c r="C2">
        <v>2</v>
      </c>
      <c r="D2">
        <v>1</v>
      </c>
      <c r="E2">
        <v>1</v>
      </c>
      <c r="F2">
        <v>1</v>
      </c>
      <c r="G2">
        <v>0</v>
      </c>
      <c r="H2">
        <v>0</v>
      </c>
      <c r="I2">
        <v>1</v>
      </c>
    </row>
    <row r="3" spans="1:9" x14ac:dyDescent="0.25">
      <c r="A3" t="s">
        <v>2</v>
      </c>
      <c r="B3">
        <v>3</v>
      </c>
      <c r="C3">
        <v>2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</row>
    <row r="4" spans="1:9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0</v>
      </c>
      <c r="C6">
        <v>2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</row>
    <row r="7" spans="1:9" x14ac:dyDescent="0.25">
      <c r="A7" t="s">
        <v>6</v>
      </c>
      <c r="B7">
        <v>0</v>
      </c>
      <c r="C7">
        <v>2</v>
      </c>
      <c r="D7">
        <v>0</v>
      </c>
      <c r="E7">
        <v>0</v>
      </c>
      <c r="F7">
        <v>0</v>
      </c>
      <c r="G7">
        <v>1</v>
      </c>
      <c r="H7">
        <v>1</v>
      </c>
      <c r="I7">
        <v>1</v>
      </c>
    </row>
    <row r="8" spans="1:9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50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51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52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53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9</v>
      </c>
      <c r="B14">
        <v>3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2</v>
      </c>
    </row>
    <row r="15" spans="1:9" x14ac:dyDescent="0.25">
      <c r="A15" t="s">
        <v>10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</row>
    <row r="16" spans="1:9" x14ac:dyDescent="0.25">
      <c r="A16" t="s">
        <v>11</v>
      </c>
      <c r="B16">
        <v>3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2</v>
      </c>
    </row>
    <row r="17" spans="1:9" x14ac:dyDescent="0.25">
      <c r="A17" t="s">
        <v>12</v>
      </c>
      <c r="B17">
        <v>3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2</v>
      </c>
    </row>
    <row r="18" spans="1:9" x14ac:dyDescent="0.25">
      <c r="A18" t="s">
        <v>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15</v>
      </c>
      <c r="B20">
        <v>0</v>
      </c>
      <c r="C20">
        <v>0</v>
      </c>
      <c r="D20">
        <v>0</v>
      </c>
      <c r="E20">
        <v>0</v>
      </c>
      <c r="F20">
        <v>1</v>
      </c>
      <c r="G20">
        <v>1</v>
      </c>
      <c r="H20">
        <v>0</v>
      </c>
      <c r="I20">
        <v>1</v>
      </c>
    </row>
    <row r="21" spans="1:9" x14ac:dyDescent="0.25">
      <c r="A21" t="s">
        <v>16</v>
      </c>
      <c r="B21" s="1">
        <v>23.361999999999998</v>
      </c>
      <c r="C21" s="1">
        <v>26.515000000000001</v>
      </c>
      <c r="D21" s="1">
        <v>19.774000000000001</v>
      </c>
      <c r="E21" s="1">
        <v>17.774999999999999</v>
      </c>
      <c r="F21" s="1">
        <v>11.945</v>
      </c>
      <c r="G21" s="1">
        <v>17.058</v>
      </c>
      <c r="H21" s="1">
        <v>26.428999999999998</v>
      </c>
      <c r="I21" s="1">
        <v>15.94</v>
      </c>
    </row>
    <row r="22" spans="1:9" x14ac:dyDescent="0.25">
      <c r="A22" t="s">
        <v>19</v>
      </c>
      <c r="B22" s="1">
        <v>2.3828999999999999E-2</v>
      </c>
      <c r="C22" s="1">
        <v>2.4183E-2</v>
      </c>
      <c r="D22" s="1">
        <v>1.8273999999999999E-2</v>
      </c>
      <c r="E22" s="1">
        <v>1.8484E-2</v>
      </c>
      <c r="F22" s="1">
        <v>1.2227E-2</v>
      </c>
      <c r="G22" s="1">
        <v>9.3539999999999995E-3</v>
      </c>
      <c r="H22" s="1">
        <v>1.1979999999999999E-2</v>
      </c>
      <c r="I22" s="1">
        <v>1.4895E-2</v>
      </c>
    </row>
    <row r="23" spans="1:9" x14ac:dyDescent="0.25">
      <c r="A23" t="s">
        <v>17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25">
      <c r="A24" t="s">
        <v>20</v>
      </c>
      <c r="B24" t="s">
        <v>21</v>
      </c>
      <c r="C24" t="s">
        <v>21</v>
      </c>
      <c r="D24" t="s">
        <v>21</v>
      </c>
      <c r="E24" t="s">
        <v>21</v>
      </c>
      <c r="F24" t="s">
        <v>22</v>
      </c>
      <c r="G24" t="s">
        <v>22</v>
      </c>
      <c r="H24" t="s">
        <v>22</v>
      </c>
      <c r="I24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A7EAB-DAE5-4AA9-9395-AE3C729544D4}">
  <dimension ref="A1:I24"/>
  <sheetViews>
    <sheetView zoomScale="115" zoomScaleNormal="115" workbookViewId="0">
      <selection activeCell="I23" sqref="I23"/>
    </sheetView>
  </sheetViews>
  <sheetFormatPr defaultRowHeight="15" x14ac:dyDescent="0.25"/>
  <cols>
    <col min="1" max="1" width="55.28515625" bestFit="1" customWidth="1"/>
    <col min="2" max="9" width="11.7109375" bestFit="1" customWidth="1"/>
  </cols>
  <sheetData>
    <row r="1" spans="1:9" x14ac:dyDescent="0.25">
      <c r="A1" t="s">
        <v>0</v>
      </c>
      <c r="B1" t="str">
        <f>'Test IDs'!C2</f>
        <v>DS.1</v>
      </c>
      <c r="C1" t="str">
        <f>'Test IDs'!C3</f>
        <v>DS.2</v>
      </c>
      <c r="D1" t="str">
        <f>'Test IDs'!C4</f>
        <v>DS.3</v>
      </c>
      <c r="E1" t="str">
        <f>'Test IDs'!C5</f>
        <v>DS.4</v>
      </c>
      <c r="F1" t="str">
        <f>'Test IDs'!C6</f>
        <v>N.1</v>
      </c>
      <c r="G1" t="str">
        <f>'Test IDs'!C7</f>
        <v>N.2</v>
      </c>
      <c r="H1" t="str">
        <f>'Test IDs'!C8</f>
        <v>N.3</v>
      </c>
      <c r="I1" t="str">
        <f>'Test IDs'!C9</f>
        <v>N.4</v>
      </c>
    </row>
    <row r="2" spans="1:9" x14ac:dyDescent="0.25">
      <c r="A2" t="s">
        <v>1</v>
      </c>
      <c r="B2">
        <v>3</v>
      </c>
      <c r="C2">
        <v>2</v>
      </c>
      <c r="D2">
        <v>1</v>
      </c>
      <c r="E2">
        <v>1</v>
      </c>
      <c r="F2">
        <v>1</v>
      </c>
      <c r="G2">
        <v>0</v>
      </c>
      <c r="H2">
        <v>0</v>
      </c>
      <c r="I2">
        <v>1</v>
      </c>
    </row>
    <row r="3" spans="1:9" x14ac:dyDescent="0.25">
      <c r="A3" t="s">
        <v>2</v>
      </c>
      <c r="B3">
        <v>3</v>
      </c>
      <c r="C3">
        <v>2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</row>
    <row r="4" spans="1:9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4</v>
      </c>
      <c r="B5">
        <v>3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0</v>
      </c>
      <c r="C6">
        <v>2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</row>
    <row r="7" spans="1:9" x14ac:dyDescent="0.25">
      <c r="A7" t="s">
        <v>6</v>
      </c>
      <c r="B7">
        <v>0</v>
      </c>
      <c r="C7">
        <v>2</v>
      </c>
      <c r="D7">
        <v>0</v>
      </c>
      <c r="E7">
        <v>0</v>
      </c>
      <c r="F7">
        <v>0</v>
      </c>
      <c r="G7">
        <v>1</v>
      </c>
      <c r="H7">
        <v>0</v>
      </c>
      <c r="I7">
        <v>1</v>
      </c>
    </row>
    <row r="8" spans="1:9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</row>
    <row r="9" spans="1:9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50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51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52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53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9</v>
      </c>
      <c r="B14">
        <v>3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2</v>
      </c>
    </row>
    <row r="15" spans="1:9" x14ac:dyDescent="0.25">
      <c r="A15" t="s">
        <v>10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</row>
    <row r="16" spans="1:9" x14ac:dyDescent="0.25">
      <c r="A16" t="s">
        <v>11</v>
      </c>
      <c r="B16">
        <v>3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2</v>
      </c>
    </row>
    <row r="17" spans="1:9" x14ac:dyDescent="0.25">
      <c r="A17" t="s">
        <v>12</v>
      </c>
      <c r="B17">
        <v>3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2</v>
      </c>
    </row>
    <row r="18" spans="1:9" x14ac:dyDescent="0.25">
      <c r="A18" t="s">
        <v>13</v>
      </c>
      <c r="B18">
        <v>3</v>
      </c>
      <c r="C18">
        <v>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15</v>
      </c>
      <c r="B20">
        <v>0</v>
      </c>
      <c r="C20">
        <v>0</v>
      </c>
      <c r="D20">
        <v>1</v>
      </c>
      <c r="E20">
        <v>0</v>
      </c>
      <c r="F20">
        <v>1</v>
      </c>
      <c r="G20">
        <v>2</v>
      </c>
      <c r="H20">
        <v>0</v>
      </c>
      <c r="I20">
        <v>1</v>
      </c>
    </row>
    <row r="21" spans="1:9" x14ac:dyDescent="0.25">
      <c r="A21" t="s">
        <v>16</v>
      </c>
      <c r="B21" s="1">
        <v>30.553999999999998</v>
      </c>
      <c r="C21" s="1">
        <v>20.238</v>
      </c>
      <c r="D21" s="1">
        <v>13.242000000000001</v>
      </c>
      <c r="E21" s="1">
        <v>16.619</v>
      </c>
      <c r="F21" s="1">
        <v>12.702</v>
      </c>
      <c r="G21" s="1">
        <v>9.4719999999999995</v>
      </c>
      <c r="H21" s="1">
        <v>13.05</v>
      </c>
      <c r="I21" s="1">
        <v>15.512</v>
      </c>
    </row>
    <row r="22" spans="1:9" x14ac:dyDescent="0.25">
      <c r="A22" t="s">
        <v>19</v>
      </c>
      <c r="B22" s="1">
        <v>2.5378000000000001E-2</v>
      </c>
      <c r="C22" s="1">
        <v>1.9817000000000001E-2</v>
      </c>
      <c r="D22" s="1">
        <v>1.3224E-2</v>
      </c>
      <c r="E22" s="1">
        <v>1.9071999999999999E-2</v>
      </c>
      <c r="F22" s="1">
        <v>1.2208E-2</v>
      </c>
      <c r="G22" s="1">
        <v>9.6340000000000002E-3</v>
      </c>
      <c r="H22" s="1">
        <v>1.2047E-2</v>
      </c>
      <c r="I22" s="1">
        <v>1.5117999999999999E-2</v>
      </c>
    </row>
    <row r="23" spans="1:9" x14ac:dyDescent="0.25">
      <c r="A23" t="s">
        <v>17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25">
      <c r="A24" t="s">
        <v>20</v>
      </c>
      <c r="B24" t="s">
        <v>22</v>
      </c>
      <c r="C24" t="s">
        <v>22</v>
      </c>
      <c r="D24" t="s">
        <v>22</v>
      </c>
      <c r="E24" t="s">
        <v>21</v>
      </c>
      <c r="F24" t="s">
        <v>22</v>
      </c>
      <c r="G24" t="s">
        <v>22</v>
      </c>
      <c r="H24" t="s">
        <v>22</v>
      </c>
      <c r="I24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0BF79-8B7D-43C4-816A-164CB83CAB3E}">
  <dimension ref="A1:I23"/>
  <sheetViews>
    <sheetView zoomScale="115" zoomScaleNormal="115" workbookViewId="0">
      <selection activeCell="J17" sqref="J17"/>
    </sheetView>
  </sheetViews>
  <sheetFormatPr defaultRowHeight="15" x14ac:dyDescent="0.25"/>
  <cols>
    <col min="1" max="1" width="61.140625" bestFit="1" customWidth="1"/>
    <col min="2" max="9" width="11.7109375" bestFit="1" customWidth="1"/>
  </cols>
  <sheetData>
    <row r="1" spans="1:9" x14ac:dyDescent="0.25">
      <c r="A1" t="s">
        <v>0</v>
      </c>
      <c r="B1" t="str">
        <f>'Test IDs'!C2</f>
        <v>DS.1</v>
      </c>
      <c r="C1" t="str">
        <f>'Test IDs'!C3</f>
        <v>DS.2</v>
      </c>
      <c r="D1" t="str">
        <f>'Test IDs'!C4</f>
        <v>DS.3</v>
      </c>
      <c r="E1" t="str">
        <f>'Test IDs'!C5</f>
        <v>DS.4</v>
      </c>
      <c r="F1" t="str">
        <f>'Test IDs'!C6</f>
        <v>N.1</v>
      </c>
      <c r="G1" t="str">
        <f>'Test IDs'!C7</f>
        <v>N.2</v>
      </c>
      <c r="H1" t="str">
        <f>'Test IDs'!C8</f>
        <v>N.3</v>
      </c>
      <c r="I1" t="str">
        <f>'Test IDs'!C9</f>
        <v>N.4</v>
      </c>
    </row>
    <row r="2" spans="1:9" x14ac:dyDescent="0.25">
      <c r="A2" t="s">
        <v>1</v>
      </c>
      <c r="B2">
        <f>AVERAGE(r0!B2,'r1'!B2, 'r2'!B2)</f>
        <v>3</v>
      </c>
      <c r="C2">
        <f>AVERAGE(r0!C2,'r1'!C2, 'r2'!C2)</f>
        <v>2</v>
      </c>
      <c r="D2">
        <f>AVERAGE(r0!D2,'r1'!D2, 'r2'!D2)</f>
        <v>1</v>
      </c>
      <c r="E2">
        <f>AVERAGE(r0!E2,'r1'!E2, 'r2'!E2)</f>
        <v>1</v>
      </c>
      <c r="F2">
        <f>AVERAGE(r0!F2,'r1'!F2, 'r2'!F2)</f>
        <v>1</v>
      </c>
      <c r="G2">
        <f>AVERAGE(r0!G2,'r1'!G2, 'r2'!G2)</f>
        <v>0</v>
      </c>
      <c r="H2">
        <f>AVERAGE(r0!H2,'r1'!H2, 'r2'!H2)</f>
        <v>0</v>
      </c>
      <c r="I2">
        <f>AVERAGE(r0!I2,'r1'!I2, 'r2'!I2)</f>
        <v>1</v>
      </c>
    </row>
    <row r="3" spans="1:9" x14ac:dyDescent="0.25">
      <c r="A3" t="s">
        <v>2</v>
      </c>
      <c r="B3">
        <f>AVERAGE(r0!B3,'r1'!B3, 'r2'!B3)</f>
        <v>3</v>
      </c>
      <c r="C3">
        <f>AVERAGE(r0!C3,'r1'!C3, 'r2'!C3)</f>
        <v>2</v>
      </c>
      <c r="D3">
        <f>AVERAGE(r0!D3,'r1'!D3, 'r2'!D3)</f>
        <v>1</v>
      </c>
      <c r="E3">
        <f>AVERAGE(r0!E3,'r1'!E3, 'r2'!E3)</f>
        <v>1</v>
      </c>
      <c r="F3">
        <f>AVERAGE(r0!F3,'r1'!F3, 'r2'!F3)</f>
        <v>1</v>
      </c>
      <c r="G3">
        <f>AVERAGE(r0!G3,'r1'!G3, 'r2'!G3)</f>
        <v>0</v>
      </c>
      <c r="H3">
        <f>AVERAGE(r0!H3,'r1'!H3, 'r2'!H3)</f>
        <v>0</v>
      </c>
      <c r="I3">
        <f>AVERAGE(r0!I3,'r1'!I3, 'r2'!I3)</f>
        <v>1</v>
      </c>
    </row>
    <row r="4" spans="1:9" x14ac:dyDescent="0.25">
      <c r="A4" t="s">
        <v>3</v>
      </c>
      <c r="B4">
        <f>AVERAGE(r0!B4,'r1'!B4, 'r2'!B4)</f>
        <v>0</v>
      </c>
      <c r="C4">
        <f>AVERAGE(r0!C4,'r1'!C4, 'r2'!C4)</f>
        <v>0</v>
      </c>
      <c r="D4">
        <f>AVERAGE(r0!D4,'r1'!D4, 'r2'!D4)</f>
        <v>0</v>
      </c>
      <c r="E4">
        <f>AVERAGE(r0!E4,'r1'!E4, 'r2'!E4)</f>
        <v>0</v>
      </c>
      <c r="F4">
        <f>AVERAGE(r0!F4,'r1'!F4, 'r2'!F4)</f>
        <v>0</v>
      </c>
      <c r="G4">
        <f>AVERAGE(r0!G4,'r1'!G4, 'r2'!G4)</f>
        <v>0</v>
      </c>
      <c r="H4">
        <f>AVERAGE(r0!H4,'r1'!H4, 'r2'!H4)</f>
        <v>0</v>
      </c>
      <c r="I4">
        <f>AVERAGE(r0!I4,'r1'!I4, 'r2'!I4)</f>
        <v>0</v>
      </c>
    </row>
    <row r="5" spans="1:9" x14ac:dyDescent="0.25">
      <c r="A5" t="s">
        <v>4</v>
      </c>
      <c r="B5">
        <f>AVERAGE(r0!B5,'r1'!B5, 'r2'!B5)</f>
        <v>1</v>
      </c>
      <c r="C5" s="1">
        <f>AVERAGE(r0!C5,'r1'!C5, 'r2'!C5)</f>
        <v>0.33333333333333331</v>
      </c>
      <c r="D5">
        <f>AVERAGE(r0!D5,'r1'!D5, 'r2'!D5)</f>
        <v>0</v>
      </c>
      <c r="E5">
        <f>AVERAGE(r0!E5,'r1'!E5, 'r2'!E5)</f>
        <v>0</v>
      </c>
      <c r="F5">
        <f>AVERAGE(r0!F5,'r1'!F5, 'r2'!F5)</f>
        <v>0</v>
      </c>
      <c r="G5">
        <f>AVERAGE(r0!G5,'r1'!G5, 'r2'!G5)</f>
        <v>0</v>
      </c>
      <c r="H5">
        <f>AVERAGE(r0!H5,'r1'!H5, 'r2'!H5)</f>
        <v>0</v>
      </c>
      <c r="I5">
        <f>AVERAGE(r0!I5,'r1'!I5, 'r2'!I5)</f>
        <v>0</v>
      </c>
    </row>
    <row r="6" spans="1:9" x14ac:dyDescent="0.25">
      <c r="A6" t="s">
        <v>5</v>
      </c>
      <c r="B6">
        <f>AVERAGE(r0!B6,'r1'!B6, 'r2'!B6)</f>
        <v>0</v>
      </c>
      <c r="C6">
        <f>AVERAGE(r0!C6,'r1'!C6, 'r2'!C6)</f>
        <v>2</v>
      </c>
      <c r="D6">
        <f>AVERAGE(r0!D6,'r1'!D6, 'r2'!D6)</f>
        <v>0</v>
      </c>
      <c r="E6">
        <f>AVERAGE(r0!E6,'r1'!E6, 'r2'!E6)</f>
        <v>0</v>
      </c>
      <c r="F6">
        <f>AVERAGE(r0!F6,'r1'!F6, 'r2'!F6)</f>
        <v>0</v>
      </c>
      <c r="G6">
        <f>AVERAGE(r0!G6,'r1'!G6, 'r2'!G6)</f>
        <v>1</v>
      </c>
      <c r="H6">
        <f>AVERAGE(r0!H6,'r1'!H6, 'r2'!H6)</f>
        <v>1</v>
      </c>
      <c r="I6">
        <f>AVERAGE(r0!I6,'r1'!I6, 'r2'!I6)</f>
        <v>1</v>
      </c>
    </row>
    <row r="7" spans="1:9" x14ac:dyDescent="0.25">
      <c r="A7" t="s">
        <v>6</v>
      </c>
      <c r="B7">
        <f>AVERAGE(r0!B7,'r1'!B7, 'r2'!B7)</f>
        <v>0</v>
      </c>
      <c r="C7">
        <f>AVERAGE(r0!C7,'r1'!C7, 'r2'!C7)</f>
        <v>2</v>
      </c>
      <c r="D7">
        <f>AVERAGE(r0!D7,'r1'!D7, 'r2'!D7)</f>
        <v>0</v>
      </c>
      <c r="E7">
        <f>AVERAGE(r0!E7,'r1'!E7, 'r2'!E7)</f>
        <v>0</v>
      </c>
      <c r="F7">
        <f>AVERAGE(r0!F7,'r1'!F7, 'r2'!F7)</f>
        <v>0</v>
      </c>
      <c r="G7">
        <f>AVERAGE(r0!G7,'r1'!G7, 'r2'!G7)</f>
        <v>1</v>
      </c>
      <c r="H7" s="1">
        <f>AVERAGE(r0!H7,'r1'!H7, 'r2'!H7)</f>
        <v>0.66666666666666663</v>
      </c>
      <c r="I7">
        <f>AVERAGE(r0!I7,'r1'!I7, 'r2'!I7)</f>
        <v>1</v>
      </c>
    </row>
    <row r="8" spans="1:9" x14ac:dyDescent="0.25">
      <c r="A8" t="s">
        <v>7</v>
      </c>
      <c r="B8">
        <f>AVERAGE(r0!B8,'r1'!B8, 'r2'!B8)</f>
        <v>0</v>
      </c>
      <c r="C8">
        <f>AVERAGE(r0!C8,'r1'!C8, 'r2'!C8)</f>
        <v>0</v>
      </c>
      <c r="D8">
        <f>AVERAGE(r0!D8,'r1'!D8, 'r2'!D8)</f>
        <v>0</v>
      </c>
      <c r="E8">
        <f>AVERAGE(r0!E8,'r1'!E8, 'r2'!E8)</f>
        <v>0</v>
      </c>
      <c r="F8">
        <f>AVERAGE(r0!F8,'r1'!F8, 'r2'!F8)</f>
        <v>0</v>
      </c>
      <c r="G8" s="1">
        <f>AVERAGE(r0!G8,'r1'!G8, 'r2'!G8)</f>
        <v>0.33333333333333331</v>
      </c>
      <c r="H8" s="1">
        <f>AVERAGE(r0!H8,'r1'!H8, 'r2'!H8)</f>
        <v>0.33333333333333331</v>
      </c>
      <c r="I8">
        <f>AVERAGE(r0!I8,'r1'!I8, 'r2'!I8)</f>
        <v>0</v>
      </c>
    </row>
    <row r="9" spans="1:9" x14ac:dyDescent="0.25">
      <c r="A9" t="s">
        <v>8</v>
      </c>
      <c r="B9">
        <f>AVERAGE(r0!B9,'r1'!B9, 'r2'!B9)</f>
        <v>0</v>
      </c>
      <c r="C9">
        <f>AVERAGE(r0!C9,'r1'!C9, 'r2'!C9)</f>
        <v>0</v>
      </c>
      <c r="D9">
        <f>AVERAGE(r0!D9,'r1'!D9, 'r2'!D9)</f>
        <v>0</v>
      </c>
      <c r="E9">
        <f>AVERAGE(r0!E9,'r1'!E9, 'r2'!E9)</f>
        <v>0</v>
      </c>
      <c r="F9">
        <f>AVERAGE(r0!F9,'r1'!F9, 'r2'!F9)</f>
        <v>0</v>
      </c>
      <c r="G9">
        <f>AVERAGE(r0!G9,'r1'!G9, 'r2'!G9)</f>
        <v>0</v>
      </c>
      <c r="H9">
        <f>AVERAGE(r0!H9,'r1'!H9, 'r2'!H9)</f>
        <v>0</v>
      </c>
      <c r="I9">
        <f>AVERAGE(r0!I9,'r1'!I9, 'r2'!I9)</f>
        <v>0</v>
      </c>
    </row>
    <row r="10" spans="1:9" x14ac:dyDescent="0.25">
      <c r="A10" t="s">
        <v>50</v>
      </c>
      <c r="B10">
        <f>AVERAGE(r0!B10,'r1'!B10, 'r2'!B10)</f>
        <v>0</v>
      </c>
      <c r="C10">
        <f>AVERAGE(r0!C10,'r1'!C10, 'r2'!C10)</f>
        <v>1</v>
      </c>
      <c r="D10">
        <f>AVERAGE(r0!D10,'r1'!D10, 'r2'!D10)</f>
        <v>0</v>
      </c>
      <c r="E10">
        <f>AVERAGE(r0!E10,'r1'!E10, 'r2'!E10)</f>
        <v>0</v>
      </c>
      <c r="F10">
        <f>AVERAGE(r0!F10,'r1'!F10, 'r2'!F10)</f>
        <v>0</v>
      </c>
      <c r="G10">
        <f>AVERAGE(r0!G10,'r1'!G10, 'r2'!G10)</f>
        <v>0</v>
      </c>
      <c r="H10">
        <f>AVERAGE(r0!H10,'r1'!H10, 'r2'!H10)</f>
        <v>0</v>
      </c>
      <c r="I10">
        <f>AVERAGE(r0!I10,'r1'!I10, 'r2'!I10)</f>
        <v>0</v>
      </c>
    </row>
    <row r="11" spans="1:9" x14ac:dyDescent="0.25">
      <c r="A11" t="s">
        <v>51</v>
      </c>
      <c r="B11">
        <f>AVERAGE(r0!B11,'r1'!B11, 'r2'!B11)</f>
        <v>0</v>
      </c>
      <c r="C11" s="1">
        <f>AVERAGE(r0!C11,'r1'!C11, 'r2'!C11)</f>
        <v>0.66666666666666663</v>
      </c>
      <c r="D11">
        <f>AVERAGE(r0!D11,'r1'!D11, 'r2'!D11)</f>
        <v>0</v>
      </c>
      <c r="E11">
        <f>AVERAGE(r0!E11,'r1'!E11, 'r2'!E11)</f>
        <v>0</v>
      </c>
      <c r="F11">
        <f>AVERAGE(r0!F11,'r1'!F11, 'r2'!F11)</f>
        <v>0</v>
      </c>
      <c r="G11">
        <f>AVERAGE(r0!G11,'r1'!G11, 'r2'!G11)</f>
        <v>0</v>
      </c>
      <c r="H11">
        <f>AVERAGE(r0!H11,'r1'!H11, 'r2'!H11)</f>
        <v>0</v>
      </c>
      <c r="I11">
        <f>AVERAGE(r0!I11,'r1'!I11, 'r2'!I11)</f>
        <v>0</v>
      </c>
    </row>
    <row r="12" spans="1:9" x14ac:dyDescent="0.25">
      <c r="A12" t="s">
        <v>52</v>
      </c>
      <c r="B12">
        <f>AVERAGE(r0!B12,'r1'!B12, 'r2'!B12)</f>
        <v>0</v>
      </c>
      <c r="C12">
        <f>AVERAGE(r0!C12,'r1'!C12, 'r2'!C12)</f>
        <v>0</v>
      </c>
      <c r="D12">
        <f>AVERAGE(r0!D12,'r1'!D12, 'r2'!D12)</f>
        <v>0</v>
      </c>
      <c r="E12">
        <f>AVERAGE(r0!E12,'r1'!E12, 'r2'!E12)</f>
        <v>0</v>
      </c>
      <c r="F12">
        <f>AVERAGE(r0!F12,'r1'!F12, 'r2'!F12)</f>
        <v>0</v>
      </c>
      <c r="G12">
        <f>AVERAGE(r0!G12,'r1'!G12, 'r2'!G12)</f>
        <v>0</v>
      </c>
      <c r="H12">
        <f>AVERAGE(r0!H12,'r1'!H12, 'r2'!H12)</f>
        <v>0</v>
      </c>
      <c r="I12">
        <f>AVERAGE(r0!I12,'r1'!I12, 'r2'!I12)</f>
        <v>0</v>
      </c>
    </row>
    <row r="13" spans="1:9" x14ac:dyDescent="0.25">
      <c r="A13" t="s">
        <v>53</v>
      </c>
      <c r="B13">
        <f>AVERAGE(r0!B13,'r1'!B13, 'r2'!B13)</f>
        <v>0</v>
      </c>
      <c r="C13" s="1">
        <f>AVERAGE(r0!C13,'r1'!C13, 'r2'!C13)</f>
        <v>0.33333333333333331</v>
      </c>
      <c r="D13">
        <f>AVERAGE(r0!D13,'r1'!D13, 'r2'!D13)</f>
        <v>0</v>
      </c>
      <c r="E13">
        <f>AVERAGE(r0!E13,'r1'!E13, 'r2'!E13)</f>
        <v>0</v>
      </c>
      <c r="F13">
        <f>AVERAGE(r0!F13,'r1'!F13, 'r2'!F13)</f>
        <v>0</v>
      </c>
      <c r="G13">
        <f>AVERAGE(r0!G13,'r1'!G13, 'r2'!G13)</f>
        <v>0</v>
      </c>
      <c r="H13">
        <f>AVERAGE(r0!H13,'r1'!H13, 'r2'!H13)</f>
        <v>0</v>
      </c>
      <c r="I13">
        <f>AVERAGE(r0!I13,'r1'!I13, 'r2'!I13)</f>
        <v>0</v>
      </c>
    </row>
    <row r="14" spans="1:9" x14ac:dyDescent="0.25">
      <c r="A14" t="s">
        <v>9</v>
      </c>
      <c r="B14">
        <f>AVERAGE(r0!B14,'r1'!B14, 'r2'!B14)</f>
        <v>3</v>
      </c>
      <c r="C14">
        <f>AVERAGE(r0!C14,'r1'!C14, 'r2'!C14)</f>
        <v>1</v>
      </c>
      <c r="D14">
        <f>AVERAGE(r0!D14,'r1'!D14, 'r2'!D14)</f>
        <v>1</v>
      </c>
      <c r="E14">
        <f>AVERAGE(r0!E14,'r1'!E14, 'r2'!E14)</f>
        <v>1</v>
      </c>
      <c r="F14">
        <f>AVERAGE(r0!F14,'r1'!F14, 'r2'!F14)</f>
        <v>1</v>
      </c>
      <c r="G14">
        <f>AVERAGE(r0!G14,'r1'!G14, 'r2'!G14)</f>
        <v>1</v>
      </c>
      <c r="H14">
        <f>AVERAGE(r0!H14,'r1'!H14, 'r2'!H14)</f>
        <v>1</v>
      </c>
      <c r="I14">
        <f>AVERAGE(r0!I14,'r1'!I14, 'r2'!I14)</f>
        <v>2</v>
      </c>
    </row>
    <row r="15" spans="1:9" x14ac:dyDescent="0.25">
      <c r="A15" t="s">
        <v>10</v>
      </c>
      <c r="B15">
        <f>AVERAGE(r0!B15,'r1'!B15, 'r2'!B15)</f>
        <v>0</v>
      </c>
      <c r="C15">
        <f>AVERAGE(r0!C15,'r1'!C15, 'r2'!C15)</f>
        <v>0</v>
      </c>
      <c r="D15">
        <f>AVERAGE(r0!D15,'r1'!D15, 'r2'!D15)</f>
        <v>0</v>
      </c>
      <c r="E15">
        <f>AVERAGE(r0!E15,'r1'!E15, 'r2'!E15)</f>
        <v>0</v>
      </c>
      <c r="F15">
        <f>AVERAGE(r0!F15,'r1'!F15, 'r2'!F15)</f>
        <v>1</v>
      </c>
      <c r="G15">
        <f>AVERAGE(r0!G15,'r1'!G15, 'r2'!G15)</f>
        <v>0</v>
      </c>
      <c r="H15">
        <f>AVERAGE(r0!H15,'r1'!H15, 'r2'!H15)</f>
        <v>1</v>
      </c>
      <c r="I15">
        <f>AVERAGE(r0!I15,'r1'!I15, 'r2'!I15)</f>
        <v>0</v>
      </c>
    </row>
    <row r="16" spans="1:9" x14ac:dyDescent="0.25">
      <c r="A16" t="s">
        <v>11</v>
      </c>
      <c r="B16">
        <f>AVERAGE(r0!B16,'r1'!B16, 'r2'!B16)</f>
        <v>3</v>
      </c>
      <c r="C16">
        <f>AVERAGE(r0!C16,'r1'!C16, 'r2'!C16)</f>
        <v>1</v>
      </c>
      <c r="D16">
        <f>AVERAGE(r0!D16,'r1'!D16, 'r2'!D16)</f>
        <v>1</v>
      </c>
      <c r="E16">
        <f>AVERAGE(r0!E16,'r1'!E16, 'r2'!E16)</f>
        <v>1</v>
      </c>
      <c r="F16">
        <f>AVERAGE(r0!F16,'r1'!F16, 'r2'!F16)</f>
        <v>1</v>
      </c>
      <c r="G16">
        <f>AVERAGE(r0!G16,'r1'!G16, 'r2'!G16)</f>
        <v>1</v>
      </c>
      <c r="H16">
        <f>AVERAGE(r0!H16,'r1'!H16, 'r2'!H16)</f>
        <v>1</v>
      </c>
      <c r="I16">
        <f>AVERAGE(r0!I16,'r1'!I16, 'r2'!I16)</f>
        <v>2</v>
      </c>
    </row>
    <row r="17" spans="1:9" x14ac:dyDescent="0.25">
      <c r="A17" t="s">
        <v>12</v>
      </c>
      <c r="B17">
        <f>AVERAGE(r0!B17,'r1'!B17, 'r2'!B17)</f>
        <v>3</v>
      </c>
      <c r="C17">
        <f>AVERAGE(r0!C17,'r1'!C17, 'r2'!C17)</f>
        <v>1</v>
      </c>
      <c r="D17">
        <f>AVERAGE(r0!D17,'r1'!D17, 'r2'!D17)</f>
        <v>1</v>
      </c>
      <c r="E17">
        <f>AVERAGE(r0!E17,'r1'!E17, 'r2'!E17)</f>
        <v>1</v>
      </c>
      <c r="F17">
        <f>AVERAGE(r0!F17,'r1'!F17, 'r2'!F17)</f>
        <v>1</v>
      </c>
      <c r="G17">
        <f>AVERAGE(r0!G17,'r1'!G17, 'r2'!G17)</f>
        <v>1</v>
      </c>
      <c r="H17">
        <f>AVERAGE(r0!H17,'r1'!H17, 'r2'!H17)</f>
        <v>1</v>
      </c>
      <c r="I17">
        <f>AVERAGE(r0!I17,'r1'!I17, 'r2'!I17)</f>
        <v>2</v>
      </c>
    </row>
    <row r="18" spans="1:9" x14ac:dyDescent="0.25">
      <c r="A18" t="s">
        <v>13</v>
      </c>
      <c r="B18">
        <f>AVERAGE(r0!B18,'r1'!B18, 'r2'!B18)</f>
        <v>1</v>
      </c>
      <c r="C18" s="1">
        <f>AVERAGE(r0!C18,'r1'!C18, 'r2'!C18)</f>
        <v>0.66666666666666663</v>
      </c>
      <c r="D18">
        <f>AVERAGE(r0!D18,'r1'!D18, 'r2'!D18)</f>
        <v>0</v>
      </c>
      <c r="E18">
        <f>AVERAGE(r0!E18,'r1'!E18, 'r2'!E18)</f>
        <v>0</v>
      </c>
      <c r="F18">
        <f>AVERAGE(r0!F18,'r1'!F18, 'r2'!F18)</f>
        <v>0</v>
      </c>
      <c r="G18">
        <f>AVERAGE(r0!G18,'r1'!G18, 'r2'!G18)</f>
        <v>0</v>
      </c>
      <c r="H18">
        <f>AVERAGE(r0!H18,'r1'!H18, 'r2'!H18)</f>
        <v>0</v>
      </c>
      <c r="I18">
        <f>AVERAGE(r0!I18,'r1'!I18, 'r2'!I18)</f>
        <v>0</v>
      </c>
    </row>
    <row r="19" spans="1:9" x14ac:dyDescent="0.25">
      <c r="A19" t="s">
        <v>14</v>
      </c>
      <c r="B19">
        <f>AVERAGE(r0!B19,'r1'!B19, 'r2'!B19)</f>
        <v>0</v>
      </c>
      <c r="C19">
        <f>AVERAGE(r0!C19,'r1'!C19, 'r2'!C19)</f>
        <v>0</v>
      </c>
      <c r="D19">
        <f>AVERAGE(r0!D19,'r1'!D19, 'r2'!D19)</f>
        <v>0</v>
      </c>
      <c r="E19">
        <f>AVERAGE(r0!E19,'r1'!E19, 'r2'!E19)</f>
        <v>0</v>
      </c>
      <c r="F19">
        <f>AVERAGE(r0!F19,'r1'!F19, 'r2'!F19)</f>
        <v>0</v>
      </c>
      <c r="G19">
        <f>AVERAGE(r0!G19,'r1'!G19, 'r2'!G19)</f>
        <v>0</v>
      </c>
      <c r="H19">
        <f>AVERAGE(r0!H19,'r1'!H19, 'r2'!H19)</f>
        <v>0</v>
      </c>
      <c r="I19">
        <f>AVERAGE(r0!I19,'r1'!I19, 'r2'!I19)</f>
        <v>0</v>
      </c>
    </row>
    <row r="20" spans="1:9" x14ac:dyDescent="0.25">
      <c r="A20" t="s">
        <v>15</v>
      </c>
      <c r="B20">
        <f>AVERAGE(r0!B20,'r1'!B20, 'r2'!B20)</f>
        <v>0</v>
      </c>
      <c r="C20">
        <f>AVERAGE(r0!C20,'r1'!C20, 'r2'!C20)</f>
        <v>0</v>
      </c>
      <c r="D20" s="1">
        <f>AVERAGE(r0!D20,'r1'!D20, 'r2'!D20)</f>
        <v>0.33333333333333331</v>
      </c>
      <c r="E20">
        <f>AVERAGE(r0!E20,'r1'!E20, 'r2'!E20)</f>
        <v>0</v>
      </c>
      <c r="F20" s="1">
        <f>AVERAGE(r0!F20,'r1'!F20, 'r2'!F20)</f>
        <v>0.66666666666666663</v>
      </c>
      <c r="G20" s="1">
        <f>AVERAGE(r0!G20,'r1'!G20, 'r2'!G20)</f>
        <v>1.3333333333333333</v>
      </c>
      <c r="H20">
        <f>AVERAGE(r0!H20,'r1'!H20, 'r2'!H20)</f>
        <v>0</v>
      </c>
      <c r="I20">
        <f>AVERAGE(r0!I20,'r1'!I20, 'r2'!I20)</f>
        <v>1</v>
      </c>
    </row>
    <row r="21" spans="1:9" x14ac:dyDescent="0.25">
      <c r="A21" t="s">
        <v>16</v>
      </c>
      <c r="B21" s="1">
        <f>AVERAGE(r0!B21,'r1'!B21, 'r2'!B21)</f>
        <v>25.585333333333335</v>
      </c>
      <c r="C21" s="1">
        <f>AVERAGE(r0!C21,'r1'!C21, 'r2'!C21)</f>
        <v>21.831333333333333</v>
      </c>
      <c r="D21" s="1">
        <f>AVERAGE(r0!D21,'r1'!D21, 'r2'!D21)</f>
        <v>15.663666666666666</v>
      </c>
      <c r="E21" s="1">
        <f>AVERAGE(r0!E21,'r1'!E21, 'r2'!E21)</f>
        <v>17.267666666666667</v>
      </c>
      <c r="F21" s="1">
        <f>AVERAGE(r0!F21,'r1'!F21, 'r2'!F21)</f>
        <v>12.766666666666666</v>
      </c>
      <c r="G21" s="1">
        <f>AVERAGE(r0!G21,'r1'!G21, 'r2'!G21)</f>
        <v>13.334333333333333</v>
      </c>
      <c r="H21" s="1">
        <f>AVERAGE(r0!H21,'r1'!H21, 'r2'!H21)</f>
        <v>17.989000000000001</v>
      </c>
      <c r="I21" s="1">
        <f>AVERAGE(r0!I21,'r1'!I21, 'r2'!I21)</f>
        <v>15.735666666666667</v>
      </c>
    </row>
    <row r="22" spans="1:9" x14ac:dyDescent="0.25">
      <c r="A22" t="s">
        <v>19</v>
      </c>
      <c r="B22" s="1">
        <f>AVERAGE(r0!B22,'r1'!B22, 'r2'!B22)</f>
        <v>2.4386666666666668E-2</v>
      </c>
      <c r="C22" s="1">
        <f>AVERAGE(r0!C22,'r1'!C22, 'r2'!C22)</f>
        <v>2.2651000000000001E-2</v>
      </c>
      <c r="D22" s="1">
        <f>AVERAGE(r0!D22,'r1'!D22, 'r2'!D22)</f>
        <v>1.8483666666666666E-2</v>
      </c>
      <c r="E22" s="1">
        <f>AVERAGE(r0!E22,'r1'!E22, 'r2'!E22)</f>
        <v>2.0503E-2</v>
      </c>
      <c r="F22" s="1">
        <f>AVERAGE(r0!F22,'r1'!F22, 'r2'!F22)</f>
        <v>1.6129333333333332E-2</v>
      </c>
      <c r="G22" s="1">
        <f>AVERAGE(r0!G22,'r1'!G22, 'r2'!G22)</f>
        <v>1.4313666666666664E-2</v>
      </c>
      <c r="H22" s="1">
        <f>AVERAGE(r0!H22,'r1'!H22, 'r2'!H22)</f>
        <v>1.5993333333333335E-2</v>
      </c>
      <c r="I22" s="1">
        <f>AVERAGE(r0!I22,'r1'!I22, 'r2'!I22)</f>
        <v>1.7988666666666667E-2</v>
      </c>
    </row>
    <row r="23" spans="1:9" x14ac:dyDescent="0.25">
      <c r="C23" s="2"/>
      <c r="D23" s="2"/>
      <c r="E23" s="2"/>
      <c r="F23" s="2"/>
      <c r="G23" s="2"/>
      <c r="H23" s="2"/>
      <c r="I2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32CA-EC8E-404A-B90B-03381B7790AE}">
  <dimension ref="A1:I23"/>
  <sheetViews>
    <sheetView workbookViewId="0">
      <selection sqref="A1:C9"/>
    </sheetView>
  </sheetViews>
  <sheetFormatPr defaultRowHeight="15" x14ac:dyDescent="0.25"/>
  <cols>
    <col min="1" max="1" width="80" bestFit="1" customWidth="1"/>
    <col min="2" max="2" width="43.42578125" bestFit="1" customWidth="1"/>
    <col min="3" max="3" width="4.85546875" bestFit="1" customWidth="1"/>
  </cols>
  <sheetData>
    <row r="1" spans="1:3" x14ac:dyDescent="0.25">
      <c r="A1" s="3" t="s">
        <v>23</v>
      </c>
      <c r="B1" s="3" t="s">
        <v>24</v>
      </c>
      <c r="C1" s="3" t="s">
        <v>25</v>
      </c>
    </row>
    <row r="2" spans="1:3" x14ac:dyDescent="0.25">
      <c r="A2" s="4" t="s">
        <v>26</v>
      </c>
      <c r="B2" s="4" t="s">
        <v>27</v>
      </c>
      <c r="C2" s="4" t="s">
        <v>28</v>
      </c>
    </row>
    <row r="3" spans="1:3" x14ac:dyDescent="0.25">
      <c r="A3" s="4" t="s">
        <v>29</v>
      </c>
      <c r="B3" s="4" t="s">
        <v>30</v>
      </c>
      <c r="C3" s="4" t="s">
        <v>31</v>
      </c>
    </row>
    <row r="4" spans="1:3" x14ac:dyDescent="0.25">
      <c r="A4" s="4" t="s">
        <v>32</v>
      </c>
      <c r="B4" s="4" t="s">
        <v>33</v>
      </c>
      <c r="C4" s="4" t="s">
        <v>34</v>
      </c>
    </row>
    <row r="5" spans="1:3" x14ac:dyDescent="0.25">
      <c r="A5" s="4" t="s">
        <v>35</v>
      </c>
      <c r="B5" s="4" t="s">
        <v>36</v>
      </c>
      <c r="C5" s="4" t="s">
        <v>37</v>
      </c>
    </row>
    <row r="6" spans="1:3" x14ac:dyDescent="0.25">
      <c r="A6" s="4" t="s">
        <v>38</v>
      </c>
      <c r="B6" s="4" t="s">
        <v>39</v>
      </c>
      <c r="C6" s="4" t="s">
        <v>40</v>
      </c>
    </row>
    <row r="7" spans="1:3" x14ac:dyDescent="0.25">
      <c r="A7" s="4" t="s">
        <v>41</v>
      </c>
      <c r="B7" s="4" t="s">
        <v>42</v>
      </c>
      <c r="C7" s="4" t="s">
        <v>43</v>
      </c>
    </row>
    <row r="8" spans="1:3" x14ac:dyDescent="0.25">
      <c r="A8" s="4" t="s">
        <v>44</v>
      </c>
      <c r="B8" s="4" t="s">
        <v>45</v>
      </c>
      <c r="C8" s="4" t="s">
        <v>46</v>
      </c>
    </row>
    <row r="9" spans="1:3" x14ac:dyDescent="0.25">
      <c r="A9" s="4" t="s">
        <v>47</v>
      </c>
      <c r="B9" s="4" t="s">
        <v>48</v>
      </c>
      <c r="C9" s="4" t="s">
        <v>49</v>
      </c>
    </row>
    <row r="21" spans="2:9" x14ac:dyDescent="0.25">
      <c r="B21" s="1"/>
      <c r="C21" s="1"/>
      <c r="D21" s="1"/>
      <c r="E21" s="1"/>
      <c r="F21" s="1"/>
      <c r="G21" s="1"/>
      <c r="H21" s="1"/>
      <c r="I21" s="1"/>
    </row>
    <row r="23" spans="2:9" x14ac:dyDescent="0.25">
      <c r="B23" s="2"/>
      <c r="C23" s="2"/>
      <c r="D23" s="2"/>
      <c r="E23" s="2"/>
      <c r="F23" s="2"/>
      <c r="G23" s="2"/>
      <c r="H23" s="2"/>
      <c r="I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r0</vt:lpstr>
      <vt:lpstr>r1</vt:lpstr>
      <vt:lpstr>r2</vt:lpstr>
      <vt:lpstr>global</vt:lpstr>
      <vt:lpstr>Test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 Federico</dc:creator>
  <cp:lastModifiedBy>Valeri Federico</cp:lastModifiedBy>
  <dcterms:created xsi:type="dcterms:W3CDTF">2026-05-13T14:55:15Z</dcterms:created>
  <dcterms:modified xsi:type="dcterms:W3CDTF">2026-05-13T21:16:39Z</dcterms:modified>
</cp:coreProperties>
</file>