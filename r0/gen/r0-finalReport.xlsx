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0\gen\"/>
    </mc:Choice>
  </mc:AlternateContent>
  <xr:revisionPtr revIDLastSave="0" documentId="13_ncr:1_{697D8611-7852-4BC8-AB75-8DCAEAFDD4A3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4" l="1"/>
  <c r="A4" i="4"/>
  <c r="A3" i="4"/>
  <c r="A2" i="4"/>
  <c r="I1" i="1"/>
  <c r="H1" i="1"/>
  <c r="F1" i="1"/>
  <c r="G1" i="1"/>
  <c r="B1" i="1"/>
  <c r="E1" i="1"/>
  <c r="D1" i="1"/>
  <c r="C1" i="1"/>
</calcChain>
</file>

<file path=xl/sharedStrings.xml><?xml version="1.0" encoding="utf-8"?>
<sst xmlns="http://schemas.openxmlformats.org/spreadsheetml/2006/main" count="86" uniqueCount="72">
  <si>
    <t>org.apache.dolphinscheduler.api.python.PythonGatewayTest</t>
  </si>
  <si>
    <t>yes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</si>
  <si>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</si>
  <si>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</si>
  <si>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</si>
  <si>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</si>
  <si>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</si>
  <si>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</si>
  <si>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</si>
  <si>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</si>
  <si>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</si>
  <si>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</si>
  <si>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0.023953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</si>
  <si>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</si>
  <si>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</si>
  <si>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</si>
  <si>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</si>
  <si>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0.019517</t>
  </si>
  <si>
    <t>testQueryEnvironmentWorkerGroupRelation</t>
  </si>
  <si>
    <t>org.apache.dolphinscheduler.api.service.EnvironmentWorkerGroupRelationServiceTest</t>
  </si>
  <si>
    <t>0.011840</t>
  </si>
  <si>
    <t>LLM used</t>
  </si>
  <si>
    <t>org.apache.dolphinscheduler.service.process.ProcessServiceTest</t>
  </si>
  <si>
    <t>testGetUserById</t>
  </si>
  <si>
    <t>0.015064</t>
  </si>
  <si>
    <t>com.alibaba.nacos.client.naming.selector.DefaultNamingSelectorTest</t>
  </si>
  <si>
    <t>testSelect</t>
  </si>
  <si>
    <t>0.012646</t>
  </si>
  <si>
    <t>no</t>
  </si>
  <si>
    <t>JUnit import errors</t>
  </si>
  <si>
    <t>com.alibaba.nacos.ai.config.McpConfigurationTest</t>
  </si>
  <si>
    <t>testInit</t>
  </si>
  <si>
    <t>0.008600</t>
  </si>
  <si>
    <t>com.alibaba.nacos.client.naming.remote.http.NamingHttpClientManagerTest</t>
  </si>
  <si>
    <t>testShutdown</t>
  </si>
  <si>
    <t>0.011421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</si>
  <si>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</si>
  <si>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</si>
  <si>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</si>
  <si>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</si>
  <si>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</si>
  <si>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</si>
  <si>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</si>
  <si>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</si>
  <si>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</si>
  <si>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</si>
  <si>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</si>
  <si>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</si>
  <si>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</si>
  <si>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</si>
  <si>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</si>
  <si>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</si>
  <si>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</si>
  <si>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</si>
  <si>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</si>
  <si>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</si>
  <si>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</si>
  <si>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</si>
  <si>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</si>
  <si>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</si>
  <si>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0.014811</t>
  </si>
  <si>
    <t>Needs human refactor (see Compilation errors for details)</t>
  </si>
  <si>
    <t>Test case</t>
  </si>
  <si>
    <t>Error locations</t>
  </si>
  <si>
    <t>Error types</t>
  </si>
  <si>
    <t>DefaultNamingSelectorIntegrationTest_testSelect</t>
  </si>
  <si>
    <t>ControllerMethodsCache_Proxy</t>
  </si>
  <si>
    <t>Junit import</t>
  </si>
  <si>
    <t>NamingHttpClientManagerIntegrationTest_testShutdown.java</t>
  </si>
  <si>
    <t xml:space="preserve">configuration point </t>
  </si>
  <si>
    <t>NacosAuthConfig_Proxy</t>
  </si>
  <si>
    <t>configuration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</si>
</sst>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1/gen/r1-finalReport.xlsx" TargetMode="External"/><Relationship Id="rId2" Type="http://schemas.openxmlformats.org/officeDocument/2006/relationships/externalLinkPath" Target="file:///C:\Users\fedev\Documents\UNICAM\Phd\unmock\r1\gen\r1-finalReport.xlsx" TargetMode="External"/><Relationship Id="rId1" Type="http://schemas.openxmlformats.org/officeDocument/2006/relationships/externalLinkPath" Target="/Users/fedev/Documents/UNICAM/Phd/unmock/r1/gen/r1-final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ults"/>
      <sheetName val="Test IDs"/>
      <sheetName val="Compilation errors"/>
    </sheetNames>
    <sheetDataSet>
      <sheetData sheetId="0" refreshError="1"/>
      <sheetData sheetId="1">
        <row r="6">
          <cell r="C6" t="str">
            <v>N.1</v>
          </cell>
        </row>
        <row r="7">
          <cell r="C7" t="str">
            <v>N.2</v>
          </cell>
        </row>
        <row r="8">
          <cell r="C8" t="str">
            <v>N.3</v>
          </cell>
        </row>
        <row r="9">
          <cell r="C9" t="str">
            <v>N.4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sqref="A1:I24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43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5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3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4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2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15" x14ac:dyDescent="0.25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15" x14ac:dyDescent="0.25">
      <c r="A9" t="s">
        <v>49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15" x14ac:dyDescent="0.25">
      <c r="A10" t="s">
        <v>56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15" x14ac:dyDescent="0.25">
      <c r="A12" t="s">
        <v>58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5" x14ac:dyDescent="0.25">
      <c r="A13" t="s">
        <v>59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5" x14ac:dyDescent="0.25">
      <c r="A14" t="s">
        <v>50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51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7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8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29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13</v>
      </c>
      <c r="B21" s="2">
        <v>22.84</v>
      </c>
      <c r="C21" s="2">
        <v>18.741</v>
      </c>
      <c r="D21" s="2">
        <v>13.975</v>
      </c>
      <c r="E21" s="2">
        <v>17.408999999999999</v>
      </c>
      <c r="F21" s="2">
        <v>13.653</v>
      </c>
      <c r="G21" s="2">
        <v>13.473000000000001</v>
      </c>
      <c r="H21" s="2">
        <v>14.488</v>
      </c>
      <c r="I21" s="2">
        <v>15.755000000000001</v>
      </c>
    </row>
    <row r="22" spans="1:9" x14ac:dyDescent="0.25">
      <c r="A22" t="s">
        <v>21</v>
      </c>
      <c r="B22" t="s">
        <v>11</v>
      </c>
      <c r="C22" t="s">
        <v>11</v>
      </c>
      <c r="D22" t="s">
        <v>11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25">
      <c r="A23" t="s">
        <v>10</v>
      </c>
      <c r="B23" s="1" t="s">
        <v>12</v>
      </c>
      <c r="C23" s="1" t="s">
        <v>17</v>
      </c>
      <c r="D23" s="1" t="s">
        <v>20</v>
      </c>
      <c r="E23" s="1" t="s">
        <v>24</v>
      </c>
      <c r="F23" s="1" t="s">
        <v>27</v>
      </c>
      <c r="G23" s="1" t="s">
        <v>32</v>
      </c>
      <c r="H23" s="1" t="s">
        <v>35</v>
      </c>
      <c r="I23" s="1" t="s">
        <v>60</v>
      </c>
    </row>
    <row r="24" spans="1:9" x14ac:dyDescent="0.25">
      <c r="A24" t="s">
        <v>61</v>
      </c>
      <c r="B24" t="s">
        <v>28</v>
      </c>
      <c r="C24" t="s">
        <v>28</v>
      </c>
      <c r="D24" t="s">
        <v>28</v>
      </c>
      <c r="E24" t="s">
        <v>28</v>
      </c>
      <c r="F24" t="s">
        <v>1</v>
      </c>
      <c r="G24" t="s">
        <v>1</v>
      </c>
      <c r="H24" t="s">
        <v>1</v>
      </c>
      <c r="I24" t="s">
        <v>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sqref="A1:C9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36</v>
      </c>
      <c r="B1" s="4" t="s">
        <v>42</v>
      </c>
      <c r="C1" s="4" t="s">
        <v>37</v>
      </c>
    </row>
    <row r="2" spans="1:3" x14ac:dyDescent="0.25">
      <c r="A2" s="3" t="s">
        <v>0</v>
      </c>
      <c r="B2" s="3" t="s">
        <v>6</v>
      </c>
      <c r="C2" s="3" t="s">
        <v>38</v>
      </c>
    </row>
    <row r="3" spans="1:3" x14ac:dyDescent="0.25">
      <c r="A3" s="3" t="s">
        <v>14</v>
      </c>
      <c r="B3" s="3" t="s">
        <v>15</v>
      </c>
      <c r="C3" s="3" t="s">
        <v>39</v>
      </c>
    </row>
    <row r="4" spans="1:3" x14ac:dyDescent="0.25">
      <c r="A4" s="3" t="s">
        <v>19</v>
      </c>
      <c r="B4" s="3" t="s">
        <v>18</v>
      </c>
      <c r="C4" s="3" t="s">
        <v>40</v>
      </c>
    </row>
    <row r="5" spans="1:3" x14ac:dyDescent="0.25">
      <c r="A5" s="3" t="s">
        <v>22</v>
      </c>
      <c r="B5" s="3" t="s">
        <v>23</v>
      </c>
      <c r="C5" s="3" t="s">
        <v>41</v>
      </c>
    </row>
    <row r="6" spans="1:3" x14ac:dyDescent="0.25">
      <c r="A6" s="3" t="s">
        <v>25</v>
      </c>
      <c r="B6" s="3" t="s">
        <v>26</v>
      </c>
      <c r="C6" s="3" t="s">
        <v>44</v>
      </c>
    </row>
    <row r="7" spans="1:3" x14ac:dyDescent="0.25">
      <c r="A7" s="3" t="s">
        <v>30</v>
      </c>
      <c r="B7" s="3" t="s">
        <v>31</v>
      </c>
      <c r="C7" s="3" t="s">
        <v>45</v>
      </c>
    </row>
    <row r="8" spans="1:3" x14ac:dyDescent="0.25">
      <c r="A8" s="3" t="s">
        <v>33</v>
      </c>
      <c r="B8" s="3" t="s">
        <v>34</v>
      </c>
      <c r="C8" s="3" t="s">
        <v>46</v>
      </c>
    </row>
    <row r="9" spans="1:3" x14ac:dyDescent="0.25">
      <c r="A9" s="3" t="s">
        <v>54</v>
      </c>
      <c r="B9" s="3" t="s">
        <v>55</v>
      </c>
      <c r="C9" s="3" t="s">
        <v>53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7D03-455E-4774-85FF-9024907A9D9E}">
  <dimension ref="A1:C5"/>
  <sheetViews>
    <sheetView workbookViewId="0">
      <selection activeCell="C18" sqref="C18"/>
    </sheetView>
  </sheetViews>
  <sheetFormatPr defaultRowHeight="15" x14ac:dyDescent="0.25"/>
  <cols>
    <col min="2" max="2" width="53.85546875" bestFit="1" customWidth="1"/>
    <col min="3" max="3" width="30" bestFit="1" customWidth="1"/>
    <col min="4" max="4" width="9" customWidth="1"/>
  </cols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s="5" t="str">
        <f>'[1]Test IDs'!C6</f>
        <v>N.1</v>
      </c>
      <c r="B2" s="5" t="s">
        <v>65</v>
      </c>
      <c r="C2" s="5" t="s">
        <v>71</v>
      </c>
    </row>
    <row r="3" spans="1:3" x14ac:dyDescent="0.25">
      <c r="A3" s="5" t="str">
        <f>'[1]Test IDs'!C7</f>
        <v>N.2</v>
      </c>
      <c r="B3" s="6" t="s">
        <v>66</v>
      </c>
      <c r="C3" s="5" t="s">
        <v>67</v>
      </c>
    </row>
    <row r="4" spans="1:3" ht="30" x14ac:dyDescent="0.25">
      <c r="A4" s="5" t="str">
        <f>'[1]Test IDs'!C8</f>
        <v>N.3</v>
      </c>
      <c r="B4" s="6" t="s">
        <v>68</v>
      </c>
      <c r="C4" s="5" t="s">
        <v>69</v>
      </c>
    </row>
    <row r="5" spans="1:3" x14ac:dyDescent="0.25">
      <c r="A5" s="5" t="str">
        <f>'[1]Test IDs'!C9</f>
        <v>N.4</v>
      </c>
      <c r="B5" s="6" t="s">
        <v>70</v>
      </c>
      <c r="C5" s="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2026-05-13T15:14:10Z</dcterms:modified>
</cp:coreProperties>
</file>